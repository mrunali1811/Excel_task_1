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 Analytics\task\"/>
    </mc:Choice>
  </mc:AlternateContent>
  <xr:revisionPtr revIDLastSave="0" documentId="13_ncr:1_{42D354A6-C137-4CB1-B1F8-D557812ADB1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4" i="1" l="1"/>
  <c r="K52" i="1"/>
  <c r="K50" i="1"/>
  <c r="K45" i="1"/>
  <c r="K42" i="1"/>
  <c r="K39" i="1"/>
  <c r="K36" i="1"/>
  <c r="K30" i="1"/>
  <c r="K27" i="1"/>
  <c r="K5" i="1"/>
  <c r="K23" i="1"/>
  <c r="K21" i="1"/>
  <c r="K14" i="1"/>
  <c r="K13" i="1"/>
  <c r="K12" i="1"/>
  <c r="K7" i="1"/>
  <c r="K9" i="1"/>
  <c r="K8" i="1"/>
  <c r="K6" i="1"/>
  <c r="K11" i="1"/>
  <c r="K15" i="1"/>
  <c r="K66" i="1"/>
  <c r="K60" i="1"/>
  <c r="K65" i="1"/>
  <c r="K64" i="1"/>
  <c r="K63" i="1"/>
  <c r="K59" i="1"/>
  <c r="K58" i="1"/>
  <c r="K57" i="1"/>
  <c r="K72" i="1"/>
  <c r="K71" i="1"/>
  <c r="K70" i="1"/>
  <c r="K69" i="1"/>
  <c r="K82" i="1"/>
  <c r="K84" i="1"/>
  <c r="K83" i="1"/>
  <c r="K81" i="1"/>
  <c r="K78" i="1"/>
  <c r="K77" i="1"/>
  <c r="K76" i="1"/>
  <c r="K75" i="1"/>
  <c r="K90" i="1"/>
  <c r="K89" i="1"/>
  <c r="K86" i="1"/>
  <c r="K88" i="1"/>
  <c r="K87" i="1"/>
  <c r="K101" i="1"/>
  <c r="K102" i="1"/>
  <c r="K100" i="1"/>
  <c r="K99" i="1"/>
  <c r="K98" i="1"/>
  <c r="K96" i="1"/>
  <c r="K95" i="1"/>
  <c r="K94" i="1"/>
  <c r="K93" i="1"/>
  <c r="K92" i="1"/>
  <c r="K80" i="1"/>
  <c r="K74" i="1"/>
  <c r="K68" i="1"/>
  <c r="K62" i="1"/>
  <c r="K56" i="1"/>
  <c r="K48" i="1"/>
  <c r="K33" i="1"/>
  <c r="K18" i="1"/>
</calcChain>
</file>

<file path=xl/sharedStrings.xml><?xml version="1.0" encoding="utf-8"?>
<sst xmlns="http://schemas.openxmlformats.org/spreadsheetml/2006/main" count="153" uniqueCount="142">
  <si>
    <t>Method</t>
  </si>
  <si>
    <t>Value</t>
  </si>
  <si>
    <t>formula</t>
  </si>
  <si>
    <t>Output</t>
  </si>
  <si>
    <t>CONCAT</t>
  </si>
  <si>
    <t>Mrunali</t>
  </si>
  <si>
    <t>Raisoni</t>
  </si>
  <si>
    <t>MCA</t>
  </si>
  <si>
    <t>CONCAT(H18,"-",H19)</t>
  </si>
  <si>
    <t>EXACT</t>
  </si>
  <si>
    <t>MRUNALI</t>
  </si>
  <si>
    <t>EXACT(H33,H34)</t>
  </si>
  <si>
    <t>FIND</t>
  </si>
  <si>
    <t>Raisoni-MCA</t>
  </si>
  <si>
    <t>FIND("o",H48)</t>
  </si>
  <si>
    <t>LEFT</t>
  </si>
  <si>
    <t>LEFT(H54,3)</t>
  </si>
  <si>
    <t>RIGHT</t>
  </si>
  <si>
    <t>RIGHT(H60,7)</t>
  </si>
  <si>
    <t>LEN</t>
  </si>
  <si>
    <t>UPPER</t>
  </si>
  <si>
    <t>LEN(H66)</t>
  </si>
  <si>
    <t>LOWER</t>
  </si>
  <si>
    <t>LOWER(H72)</t>
  </si>
  <si>
    <t>UPPER(H78)</t>
  </si>
  <si>
    <t>MID</t>
  </si>
  <si>
    <t>PROPER</t>
  </si>
  <si>
    <t>MID(H84,3,4)</t>
  </si>
  <si>
    <t>PROPER(H90)</t>
  </si>
  <si>
    <t>Replace</t>
  </si>
  <si>
    <t>CHAR</t>
  </si>
  <si>
    <t>CLEAN</t>
  </si>
  <si>
    <t>Mrunali Vaidya</t>
  </si>
  <si>
    <t>mRunALi-aRC</t>
  </si>
  <si>
    <t>my name is_mrunali</t>
  </si>
  <si>
    <t>TELEvision</t>
  </si>
  <si>
    <t>indIAN IDOle</t>
  </si>
  <si>
    <t>PROPER(H91)</t>
  </si>
  <si>
    <t>PROPER(H92)</t>
  </si>
  <si>
    <t>PROPER(H93)</t>
  </si>
  <si>
    <t>PROPER(H94)</t>
  </si>
  <si>
    <t>IndianIdole</t>
  </si>
  <si>
    <t>X0X0X0X0X</t>
  </si>
  <si>
    <t>Chennai-one-Express</t>
  </si>
  <si>
    <t>REPLACE(H96,1,3,"new")</t>
  </si>
  <si>
    <t>REPLACE(H97,7,0," ")</t>
  </si>
  <si>
    <t>REPLACE(H98,3,5,"*****")</t>
  </si>
  <si>
    <t>REPLACE(H99,2,7,"OOOOOOO")</t>
  </si>
  <si>
    <t>REPLACE(H100,8,5," ")</t>
  </si>
  <si>
    <t>idole@google.com</t>
  </si>
  <si>
    <t>Excel_sheet_task1_completed.</t>
  </si>
  <si>
    <t>9*********876543210</t>
  </si>
  <si>
    <t>??/(/mrunali-ARC/)//??</t>
  </si>
  <si>
    <t>MID(H85,6,1)</t>
  </si>
  <si>
    <t>MID(H86,13,15)</t>
  </si>
  <si>
    <t>MID(H87,2,9)</t>
  </si>
  <si>
    <t>MID(H88,4,15)</t>
  </si>
  <si>
    <t>I_AM_PURSUING_DATA_ANALYTICS</t>
  </si>
  <si>
    <t>NEW_TATA_car</t>
  </si>
  <si>
    <t>CODE_in_ROMAN_XII</t>
  </si>
  <si>
    <t>I_II_III_IV_V_VI_VII_VIII_IX_X</t>
  </si>
  <si>
    <t>LOWER(H73)</t>
  </si>
  <si>
    <t>LOWER(H74)</t>
  </si>
  <si>
    <t>LOWER(H75)</t>
  </si>
  <si>
    <t>LOWER(H76)</t>
  </si>
  <si>
    <t>i_am_pursuing_data_analytics</t>
  </si>
  <si>
    <t>new_tata_car</t>
  </si>
  <si>
    <t>code_in_roman_vii</t>
  </si>
  <si>
    <t>i_ii_iii_iv_v_vi_vii_viii_ix_x</t>
  </si>
  <si>
    <t>UPPER(H79)</t>
  </si>
  <si>
    <t>UPPER(H80)</t>
  </si>
  <si>
    <t>UPPER(81)</t>
  </si>
  <si>
    <t>UPPER(82)</t>
  </si>
  <si>
    <t>Welcome to the new team</t>
  </si>
  <si>
    <t>9 00*  **(21) 799//</t>
  </si>
  <si>
    <t>! @ # $ % ^ &amp; * ()</t>
  </si>
  <si>
    <t>"  "OO"  "XX"  "</t>
  </si>
  <si>
    <t>LEN(H67)</t>
  </si>
  <si>
    <t>LEN(H68)</t>
  </si>
  <si>
    <t>LEN(H69)</t>
  </si>
  <si>
    <t>LEN(H70)</t>
  </si>
  <si>
    <t>http://google.com</t>
  </si>
  <si>
    <t>12OO 11--22</t>
  </si>
  <si>
    <t>data Scientist</t>
  </si>
  <si>
    <t>Scientist data</t>
  </si>
  <si>
    <t>OO**Oonew car</t>
  </si>
  <si>
    <t>OO**OOnew car</t>
  </si>
  <si>
    <t>RIGHT(H61,10)</t>
  </si>
  <si>
    <t>RIGHT(H62,6)</t>
  </si>
  <si>
    <t>RIGHT(H63,7)</t>
  </si>
  <si>
    <t>RIGHT(H64,9)</t>
  </si>
  <si>
    <t>LEFT(H55,7)</t>
  </si>
  <si>
    <t>LEFT(H56,8)</t>
  </si>
  <si>
    <t>LEFT(H57,6)</t>
  </si>
  <si>
    <t>LEFT(H58,9)</t>
  </si>
  <si>
    <t>Mrunali
ARC</t>
  </si>
  <si>
    <t>123 main st
Mumbai
new Mumbai</t>
  </si>
  <si>
    <t>it is very
 to understand 
this formula</t>
  </si>
  <si>
    <t>Mrunali 
-Raisoni</t>
  </si>
  <si>
    <t>Total Sales: 
$500</t>
  </si>
  <si>
    <t>Mrunali and ARC</t>
  </si>
  <si>
    <t>Complete Excel Project</t>
  </si>
  <si>
    <t>Verified</t>
  </si>
  <si>
    <t>Mumbai and Maharashtra</t>
  </si>
  <si>
    <t>2026 Company Name</t>
  </si>
  <si>
    <t>"Mrunali" &amp; CHAR(10) &amp; "ARC"</t>
  </si>
  <si>
    <t>CHAR(149) &amp; " Complete Excel Project"</t>
  </si>
  <si>
    <t>ABC-101</t>
  </si>
  <si>
    <t>"Status: " &amp; CHAR(34) &amp; "Verified" &amp; CHAR(34)</t>
  </si>
  <si>
    <t>"Mumbai " &amp; CHAR(124) &amp; " Maharashtra"</t>
  </si>
  <si>
    <t>CHAR(169) &amp; " 2026 Company Name"</t>
  </si>
  <si>
    <t>CLEAN(H11)</t>
  </si>
  <si>
    <t>CLEAN(H12)</t>
  </si>
  <si>
    <t>CLEAN(H13)</t>
  </si>
  <si>
    <t>CLEAN(H14)</t>
  </si>
  <si>
    <t>CLEAN(H15)</t>
  </si>
  <si>
    <t>class.arc</t>
  </si>
  <si>
    <t>ARC</t>
  </si>
  <si>
    <t>mumbai</t>
  </si>
  <si>
    <t>Maharashtra</t>
  </si>
  <si>
    <t>C</t>
  </si>
  <si>
    <t>Users</t>
  </si>
  <si>
    <t>CHAR(149)</t>
  </si>
  <si>
    <t>•</t>
  </si>
  <si>
    <t>safePass123</t>
  </si>
  <si>
    <t>BR-550-x</t>
  </si>
  <si>
    <t>BR-550-X</t>
  </si>
  <si>
    <t>SafePass123</t>
  </si>
  <si>
    <t>CONCAT(H21,"@google.com")</t>
  </si>
  <si>
    <t>CONCAT(H23,"-",H24,"-",H25)</t>
  </si>
  <si>
    <t>CONCAT(H27,", ",H28)</t>
  </si>
  <si>
    <t>CONCAT(H30,":/",H31,"/")</t>
  </si>
  <si>
    <t>EXACT(H36,H37)</t>
  </si>
  <si>
    <t>EXACT(H39,CHAR(149))</t>
  </si>
  <si>
    <t>EXACT(H42,H43)</t>
  </si>
  <si>
    <t>EXACT(H45,H46)</t>
  </si>
  <si>
    <t>sky@google.com</t>
  </si>
  <si>
    <t>2026-MAR-07</t>
  </si>
  <si>
    <t>Report_v1.pdf</t>
  </si>
  <si>
    <t>FIND("@",H50)</t>
  </si>
  <si>
    <t>FIND("-",H52,6)</t>
  </si>
  <si>
    <t>FIND(".",H54)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</si>
</sst>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NumberFormat="1" applyBorder="1" applyAlignment="1">
      <alignment horizontal="left"/>
    </xf>
    <xf numFmtId="0" fontId="1" fillId="0" borderId="1" xfId="1" applyBorder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google.com/" TargetMode="External"/><Relationship Id="rId2" Type="http://schemas.openxmlformats.org/officeDocument/2006/relationships/hyperlink" Target="http://google.com/" TargetMode="External"/><Relationship Id="rId1" Type="http://schemas.openxmlformats.org/officeDocument/2006/relationships/hyperlink" Target="mailto:idole@google.com" TargetMode="External"/><Relationship Id="rId4" Type="http://schemas.openxmlformats.org/officeDocument/2006/relationships/hyperlink" Target="mailto:sky@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E1" zoomScaleNormal="100" workbookViewId="0">
      <selection activeCell="I2" sqref="I2"/>
    </sheetView>
  </sheetViews>
  <sheetFormatPr defaultRowHeight="15" x14ac:dyDescent="0.25"/>
  <cols>
    <col min="1" max="1" width="14.42578125" bestFit="1" customWidth="1"/>
    <col min="6" max="6" width="15" customWidth="1"/>
    <col min="7" max="7" width="14.42578125" customWidth="1"/>
    <col min="8" max="8" width="33.5703125" customWidth="1"/>
    <col min="9" max="9" width="11" customWidth="1"/>
    <col min="10" max="10" width="44.5703125" customWidth="1"/>
    <col min="11" max="11" width="48.5703125" customWidth="1"/>
  </cols>
  <sheetData>
    <row r="1" spans="1:12" x14ac:dyDescent="0.25">
      <c r="A1" t="s">
        <v>32</v>
      </c>
    </row>
    <row r="4" spans="1:12" x14ac:dyDescent="0.25">
      <c r="F4" s="3" t="s">
        <v>0</v>
      </c>
      <c r="G4" s="3"/>
      <c r="H4" s="3" t="s">
        <v>1</v>
      </c>
      <c r="I4" s="3"/>
      <c r="J4" s="3" t="s">
        <v>2</v>
      </c>
      <c r="K4" s="3" t="s">
        <v>3</v>
      </c>
      <c r="L4" s="2"/>
    </row>
    <row r="5" spans="1:12" ht="30" x14ac:dyDescent="0.25">
      <c r="F5" s="4" t="s">
        <v>30</v>
      </c>
      <c r="G5" s="4"/>
      <c r="H5" s="4" t="s">
        <v>100</v>
      </c>
      <c r="I5" s="4"/>
      <c r="J5" s="4" t="s">
        <v>105</v>
      </c>
      <c r="K5" s="5" t="str">
        <f>"Mrunali" &amp; CHAR(10) &amp; "ARC"</f>
        <v>Mrunali
ARC</v>
      </c>
      <c r="L5" s="1"/>
    </row>
    <row r="6" spans="1:12" x14ac:dyDescent="0.25">
      <c r="F6" s="4"/>
      <c r="G6" s="4"/>
      <c r="H6" s="4" t="s">
        <v>101</v>
      </c>
      <c r="I6" s="4"/>
      <c r="J6" s="4" t="s">
        <v>106</v>
      </c>
      <c r="K6" s="4" t="str">
        <f>CHAR(149) &amp; " Complete Excel Project"</f>
        <v>• Complete Excel Project</v>
      </c>
      <c r="L6" s="1"/>
    </row>
    <row r="7" spans="1:12" x14ac:dyDescent="0.25">
      <c r="F7" s="4"/>
      <c r="G7" s="4"/>
      <c r="H7" s="4" t="s">
        <v>102</v>
      </c>
      <c r="I7" s="4"/>
      <c r="J7" s="4" t="s">
        <v>108</v>
      </c>
      <c r="K7" s="4" t="str">
        <f>"Status: " &amp; CHAR(34) &amp; "Verified" &amp; CHAR(34)</f>
        <v>Status: "Verified"</v>
      </c>
      <c r="L7" s="1"/>
    </row>
    <row r="8" spans="1:12" x14ac:dyDescent="0.25">
      <c r="F8" s="4"/>
      <c r="G8" s="4"/>
      <c r="H8" s="4" t="s">
        <v>103</v>
      </c>
      <c r="I8" s="4"/>
      <c r="J8" s="4" t="s">
        <v>109</v>
      </c>
      <c r="K8" s="4" t="str">
        <f>"Mumbai " &amp; CHAR(124) &amp; " Maharashtra"</f>
        <v>Mumbai | Maharashtra</v>
      </c>
      <c r="L8" s="1"/>
    </row>
    <row r="9" spans="1:12" x14ac:dyDescent="0.25">
      <c r="F9" s="4"/>
      <c r="G9" s="4"/>
      <c r="H9" s="4" t="s">
        <v>104</v>
      </c>
      <c r="I9" s="4"/>
      <c r="J9" s="4" t="s">
        <v>110</v>
      </c>
      <c r="K9" s="4" t="str">
        <f>CHAR(169) &amp; " 2026 Company Name"</f>
        <v>© 2026 Company Name</v>
      </c>
      <c r="L9" s="1"/>
    </row>
    <row r="10" spans="1:12" x14ac:dyDescent="0.25">
      <c r="F10" s="4"/>
      <c r="G10" s="4"/>
      <c r="H10" s="4"/>
      <c r="I10" s="4"/>
      <c r="J10" s="4"/>
      <c r="K10" s="4"/>
      <c r="L10" s="1"/>
    </row>
    <row r="11" spans="1:12" ht="45" x14ac:dyDescent="0.25">
      <c r="F11" s="4" t="s">
        <v>31</v>
      </c>
      <c r="G11" s="4"/>
      <c r="H11" s="5" t="s">
        <v>97</v>
      </c>
      <c r="I11" s="4"/>
      <c r="J11" s="4" t="s">
        <v>111</v>
      </c>
      <c r="K11" s="4" t="str">
        <f>CLEAN(H11)</f>
        <v>it is very to understand this formula</v>
      </c>
      <c r="L11" s="1"/>
    </row>
    <row r="12" spans="1:12" ht="45" x14ac:dyDescent="0.25">
      <c r="F12" s="4"/>
      <c r="G12" s="4"/>
      <c r="H12" s="5" t="s">
        <v>95</v>
      </c>
      <c r="I12" s="4"/>
      <c r="J12" s="4" t="s">
        <v>112</v>
      </c>
      <c r="K12" s="4" t="str">
        <f>CLEAN(H12)</f>
        <v>MrunaliARC</v>
      </c>
      <c r="L12" s="1"/>
    </row>
    <row r="13" spans="1:12" ht="45" x14ac:dyDescent="0.25">
      <c r="F13" s="4"/>
      <c r="G13" s="4"/>
      <c r="H13" s="5" t="s">
        <v>96</v>
      </c>
      <c r="I13" s="4"/>
      <c r="J13" s="4" t="s">
        <v>113</v>
      </c>
      <c r="K13" s="4" t="str">
        <f>CLEAN(H13)</f>
        <v>123 main stMumbainew Mumbai</v>
      </c>
      <c r="L13" s="1"/>
    </row>
    <row r="14" spans="1:12" ht="30" x14ac:dyDescent="0.25">
      <c r="F14" s="4"/>
      <c r="G14" s="4"/>
      <c r="H14" s="5" t="s">
        <v>98</v>
      </c>
      <c r="I14" s="4"/>
      <c r="J14" s="4" t="s">
        <v>114</v>
      </c>
      <c r="K14" s="4" t="str">
        <f>CLEAN(H14)</f>
        <v>Mrunali -Raisoni</v>
      </c>
      <c r="L14" s="1"/>
    </row>
    <row r="15" spans="1:12" ht="30" x14ac:dyDescent="0.25">
      <c r="F15" s="4"/>
      <c r="G15" s="4"/>
      <c r="H15" s="5" t="s">
        <v>99</v>
      </c>
      <c r="I15" s="4"/>
      <c r="J15" s="4" t="s">
        <v>115</v>
      </c>
      <c r="K15" s="4" t="str">
        <f>CLEAN(H15)</f>
        <v>Total Sales: $500</v>
      </c>
      <c r="L15" s="1"/>
    </row>
    <row r="16" spans="1:12" x14ac:dyDescent="0.25">
      <c r="F16" s="4"/>
      <c r="G16" s="4"/>
      <c r="H16" s="4"/>
      <c r="I16" s="4"/>
      <c r="J16" s="4"/>
      <c r="K16" s="4"/>
      <c r="L16" s="1"/>
    </row>
    <row r="17" spans="6:12" x14ac:dyDescent="0.25">
      <c r="F17" s="4"/>
      <c r="G17" s="4"/>
      <c r="H17" s="4"/>
      <c r="I17" s="4"/>
      <c r="J17" s="4"/>
      <c r="K17" s="4"/>
      <c r="L17" s="1"/>
    </row>
    <row r="18" spans="6:12" x14ac:dyDescent="0.25">
      <c r="F18" s="4" t="s">
        <v>4</v>
      </c>
      <c r="G18" s="4"/>
      <c r="H18" s="4" t="s">
        <v>6</v>
      </c>
      <c r="I18" s="4"/>
      <c r="J18" s="4" t="s">
        <v>8</v>
      </c>
      <c r="K18" s="4" t="str">
        <f>_xlfn.CONCAT(H18,"-",H19)</f>
        <v>Raisoni-MCA</v>
      </c>
      <c r="L18" s="1"/>
    </row>
    <row r="19" spans="6:12" x14ac:dyDescent="0.25">
      <c r="F19" s="4"/>
      <c r="G19" s="4"/>
      <c r="H19" s="4" t="s">
        <v>7</v>
      </c>
      <c r="I19" s="4"/>
      <c r="J19" s="4"/>
      <c r="K19" s="4"/>
      <c r="L19" s="1"/>
    </row>
    <row r="20" spans="6:12" x14ac:dyDescent="0.25">
      <c r="F20" s="4"/>
      <c r="G20" s="4"/>
      <c r="H20" s="4"/>
      <c r="I20" s="4"/>
      <c r="J20" s="4"/>
      <c r="K20" s="4"/>
      <c r="L20" s="1"/>
    </row>
    <row r="21" spans="6:12" x14ac:dyDescent="0.25">
      <c r="F21" s="4"/>
      <c r="G21" s="4"/>
      <c r="H21" s="4" t="s">
        <v>116</v>
      </c>
      <c r="I21" s="4"/>
      <c r="J21" s="4" t="s">
        <v>128</v>
      </c>
      <c r="K21" s="4" t="str">
        <f>_xlfn.CONCAT(H21,"@google.com")</f>
        <v>class.arc@google.com</v>
      </c>
      <c r="L21" s="1"/>
    </row>
    <row r="22" spans="6:12" x14ac:dyDescent="0.25">
      <c r="F22" s="4"/>
      <c r="G22" s="4"/>
      <c r="H22" s="4"/>
      <c r="I22" s="4"/>
      <c r="J22" s="4"/>
      <c r="K22" s="4"/>
      <c r="L22" s="1"/>
    </row>
    <row r="23" spans="6:12" x14ac:dyDescent="0.25">
      <c r="F23" s="4"/>
      <c r="G23" s="4"/>
      <c r="H23" s="4" t="s">
        <v>117</v>
      </c>
      <c r="I23" s="4"/>
      <c r="J23" s="4" t="s">
        <v>129</v>
      </c>
      <c r="K23" s="4" t="str">
        <f>_xlfn.CONCAT(H23,"-",H24,"-",H25)</f>
        <v>ARC-2026-1</v>
      </c>
      <c r="L23" s="1"/>
    </row>
    <row r="24" spans="6:12" x14ac:dyDescent="0.25">
      <c r="F24" s="4"/>
      <c r="G24" s="4"/>
      <c r="H24" s="4">
        <v>2026</v>
      </c>
      <c r="I24" s="4"/>
      <c r="J24" s="4"/>
      <c r="K24" s="4"/>
      <c r="L24" s="1"/>
    </row>
    <row r="25" spans="6:12" x14ac:dyDescent="0.25">
      <c r="F25" s="4"/>
      <c r="G25" s="4"/>
      <c r="H25" s="6">
        <v>1</v>
      </c>
      <c r="I25" s="4"/>
      <c r="J25" s="4"/>
      <c r="K25" s="4"/>
      <c r="L25" s="1"/>
    </row>
    <row r="26" spans="6:12" x14ac:dyDescent="0.25">
      <c r="F26" s="4"/>
      <c r="G26" s="4"/>
      <c r="H26" s="4"/>
      <c r="I26" s="4"/>
      <c r="J26" s="4"/>
      <c r="K26" s="4"/>
      <c r="L26" s="1"/>
    </row>
    <row r="27" spans="6:12" x14ac:dyDescent="0.25">
      <c r="F27" s="4"/>
      <c r="G27" s="4"/>
      <c r="H27" s="4" t="s">
        <v>118</v>
      </c>
      <c r="I27" s="4"/>
      <c r="J27" s="4" t="s">
        <v>130</v>
      </c>
      <c r="K27" s="4" t="str">
        <f>_xlfn.CONCAT(H27,", ",H28)</f>
        <v>mumbai, Maharashtra</v>
      </c>
      <c r="L27" s="1"/>
    </row>
    <row r="28" spans="6:12" x14ac:dyDescent="0.25">
      <c r="F28" s="4"/>
      <c r="G28" s="4"/>
      <c r="H28" s="4" t="s">
        <v>119</v>
      </c>
      <c r="I28" s="4"/>
      <c r="J28" s="4"/>
      <c r="K28" s="4"/>
      <c r="L28" s="1"/>
    </row>
    <row r="29" spans="6:12" x14ac:dyDescent="0.25">
      <c r="F29" s="4"/>
      <c r="G29" s="4"/>
      <c r="H29" s="4"/>
      <c r="I29" s="4"/>
      <c r="J29" s="4"/>
      <c r="K29" s="4"/>
      <c r="L29" s="1"/>
    </row>
    <row r="30" spans="6:12" x14ac:dyDescent="0.25">
      <c r="F30" s="4"/>
      <c r="G30" s="4"/>
      <c r="H30" s="4" t="s">
        <v>120</v>
      </c>
      <c r="I30" s="4"/>
      <c r="J30" s="4" t="s">
        <v>131</v>
      </c>
      <c r="K30" s="4" t="str">
        <f>_xlfn.CONCAT(H30,":/",H31,"/")</f>
        <v>C:/Users/</v>
      </c>
      <c r="L30" s="1"/>
    </row>
    <row r="31" spans="6:12" x14ac:dyDescent="0.25">
      <c r="F31" s="4"/>
      <c r="G31" s="4"/>
      <c r="H31" s="4" t="s">
        <v>121</v>
      </c>
      <c r="I31" s="4"/>
      <c r="J31" s="4"/>
      <c r="K31" s="4"/>
      <c r="L31" s="1"/>
    </row>
    <row r="32" spans="6:12" x14ac:dyDescent="0.25">
      <c r="F32" s="4"/>
      <c r="G32" s="4"/>
      <c r="H32" s="4"/>
      <c r="I32" s="4"/>
      <c r="J32" s="4"/>
      <c r="K32" s="4"/>
      <c r="L32" s="1"/>
    </row>
    <row r="33" spans="6:12" x14ac:dyDescent="0.25">
      <c r="F33" s="4" t="s">
        <v>9</v>
      </c>
      <c r="G33" s="4"/>
      <c r="H33" s="4" t="s">
        <v>5</v>
      </c>
      <c r="I33" s="4"/>
      <c r="J33" s="4" t="s">
        <v>11</v>
      </c>
      <c r="K33" s="4" t="b">
        <f>EXACT(H33,H34)</f>
        <v>0</v>
      </c>
      <c r="L33" s="1"/>
    </row>
    <row r="34" spans="6:12" x14ac:dyDescent="0.25">
      <c r="F34" s="4"/>
      <c r="G34" s="4"/>
      <c r="H34" s="4" t="s">
        <v>10</v>
      </c>
      <c r="I34" s="4"/>
      <c r="J34" s="4"/>
      <c r="K34" s="4"/>
      <c r="L34" s="1"/>
    </row>
    <row r="35" spans="6:12" x14ac:dyDescent="0.25">
      <c r="F35" s="4"/>
      <c r="G35" s="4"/>
      <c r="H35" s="4"/>
      <c r="I35" s="4"/>
      <c r="J35" s="4"/>
      <c r="K35" s="4"/>
      <c r="L35" s="1"/>
    </row>
    <row r="36" spans="6:12" x14ac:dyDescent="0.25">
      <c r="F36" s="4"/>
      <c r="G36" s="4"/>
      <c r="H36" s="4" t="s">
        <v>107</v>
      </c>
      <c r="I36" s="4"/>
      <c r="J36" s="4" t="s">
        <v>132</v>
      </c>
      <c r="K36" s="4" t="b">
        <f>EXACT(H36,H37)</f>
        <v>1</v>
      </c>
      <c r="L36" s="1"/>
    </row>
    <row r="37" spans="6:12" x14ac:dyDescent="0.25">
      <c r="F37" s="4"/>
      <c r="G37" s="4"/>
      <c r="H37" s="4" t="s">
        <v>107</v>
      </c>
      <c r="I37" s="4"/>
      <c r="J37" s="4"/>
      <c r="K37" s="4"/>
      <c r="L37" s="1"/>
    </row>
    <row r="38" spans="6:12" x14ac:dyDescent="0.25">
      <c r="F38" s="4"/>
      <c r="G38" s="4"/>
      <c r="H38" s="4"/>
      <c r="I38" s="4"/>
      <c r="J38" s="4"/>
      <c r="K38" s="4"/>
      <c r="L38" s="1"/>
    </row>
    <row r="39" spans="6:12" x14ac:dyDescent="0.25">
      <c r="F39" s="4"/>
      <c r="G39" s="4"/>
      <c r="H39" s="4" t="s">
        <v>123</v>
      </c>
      <c r="I39" s="4"/>
      <c r="J39" s="4" t="s">
        <v>133</v>
      </c>
      <c r="K39" s="4" t="b">
        <f>EXACT(H39,CHAR(149))</f>
        <v>1</v>
      </c>
      <c r="L39" s="1"/>
    </row>
    <row r="40" spans="6:12" x14ac:dyDescent="0.25">
      <c r="F40" s="4"/>
      <c r="G40" s="4"/>
      <c r="H40" s="4" t="s">
        <v>122</v>
      </c>
      <c r="I40" s="4"/>
      <c r="J40" s="4"/>
      <c r="K40" s="4"/>
      <c r="L40" s="1"/>
    </row>
    <row r="41" spans="6:12" x14ac:dyDescent="0.25">
      <c r="F41" s="4"/>
      <c r="G41" s="4"/>
      <c r="H41" s="4"/>
      <c r="I41" s="4"/>
      <c r="J41" s="4"/>
      <c r="K41" s="4"/>
      <c r="L41" s="1"/>
    </row>
    <row r="42" spans="6:12" x14ac:dyDescent="0.25">
      <c r="F42" s="4"/>
      <c r="G42" s="4"/>
      <c r="H42" s="4" t="s">
        <v>124</v>
      </c>
      <c r="I42" s="4"/>
      <c r="J42" s="4" t="s">
        <v>134</v>
      </c>
      <c r="K42" s="4" t="b">
        <f>EXACT(H42,H43)</f>
        <v>0</v>
      </c>
      <c r="L42" s="1"/>
    </row>
    <row r="43" spans="6:12" x14ac:dyDescent="0.25">
      <c r="F43" s="4"/>
      <c r="G43" s="4"/>
      <c r="H43" s="4" t="s">
        <v>127</v>
      </c>
      <c r="I43" s="4"/>
      <c r="J43" s="4"/>
      <c r="K43" s="4"/>
      <c r="L43" s="1"/>
    </row>
    <row r="44" spans="6:12" x14ac:dyDescent="0.25">
      <c r="F44" s="4"/>
      <c r="G44" s="4"/>
      <c r="H44" s="4"/>
      <c r="I44" s="4"/>
      <c r="J44" s="4"/>
      <c r="K44" s="4"/>
      <c r="L44" s="1"/>
    </row>
    <row r="45" spans="6:12" x14ac:dyDescent="0.25">
      <c r="F45" s="4"/>
      <c r="G45" s="4"/>
      <c r="H45" s="4" t="s">
        <v>125</v>
      </c>
      <c r="I45" s="4"/>
      <c r="J45" s="4" t="s">
        <v>135</v>
      </c>
      <c r="K45" s="4" t="b">
        <f>EXACT(H45,H46)</f>
        <v>0</v>
      </c>
      <c r="L45" s="1"/>
    </row>
    <row r="46" spans="6:12" x14ac:dyDescent="0.25">
      <c r="F46" s="4"/>
      <c r="G46" s="4"/>
      <c r="H46" s="4" t="s">
        <v>126</v>
      </c>
      <c r="I46" s="4"/>
      <c r="J46" s="4"/>
      <c r="K46" s="4"/>
      <c r="L46" s="1"/>
    </row>
    <row r="47" spans="6:12" x14ac:dyDescent="0.25">
      <c r="F47" s="4"/>
      <c r="G47" s="4"/>
      <c r="H47" s="4"/>
      <c r="I47" s="4"/>
      <c r="J47" s="4"/>
      <c r="K47" s="4"/>
      <c r="L47" s="1"/>
    </row>
    <row r="48" spans="6:12" x14ac:dyDescent="0.25">
      <c r="F48" s="4" t="s">
        <v>12</v>
      </c>
      <c r="G48" s="4"/>
      <c r="H48" s="4" t="s">
        <v>13</v>
      </c>
      <c r="I48" s="4"/>
      <c r="J48" s="4" t="s">
        <v>14</v>
      </c>
      <c r="K48" s="4">
        <f>FIND("o",H48)</f>
        <v>5</v>
      </c>
      <c r="L48" s="1"/>
    </row>
    <row r="49" spans="6:12" x14ac:dyDescent="0.25">
      <c r="F49" s="4"/>
      <c r="G49" s="4"/>
      <c r="H49" s="4"/>
      <c r="I49" s="4"/>
      <c r="J49" s="4"/>
      <c r="K49" s="4"/>
      <c r="L49" s="1"/>
    </row>
    <row r="50" spans="6:12" x14ac:dyDescent="0.25">
      <c r="F50" s="4"/>
      <c r="G50" s="4"/>
      <c r="H50" s="7" t="s">
        <v>136</v>
      </c>
      <c r="I50" s="4"/>
      <c r="J50" s="4" t="s">
        <v>139</v>
      </c>
      <c r="K50" s="4">
        <f>FIND("@",H50)</f>
        <v>4</v>
      </c>
      <c r="L50" s="1"/>
    </row>
    <row r="51" spans="6:12" x14ac:dyDescent="0.25">
      <c r="F51" s="4"/>
      <c r="G51" s="4"/>
      <c r="H51" s="4"/>
      <c r="I51" s="4"/>
      <c r="J51" s="4"/>
      <c r="K51" s="4"/>
      <c r="L51" s="1"/>
    </row>
    <row r="52" spans="6:12" x14ac:dyDescent="0.25">
      <c r="F52" s="4"/>
      <c r="G52" s="4"/>
      <c r="H52" s="4" t="s">
        <v>137</v>
      </c>
      <c r="I52" s="4"/>
      <c r="J52" s="4" t="s">
        <v>140</v>
      </c>
      <c r="K52" s="4">
        <f>FIND("-",H52,6)</f>
        <v>9</v>
      </c>
      <c r="L52" s="1"/>
    </row>
    <row r="53" spans="6:12" x14ac:dyDescent="0.25">
      <c r="F53" s="4"/>
      <c r="G53" s="4"/>
      <c r="H53" s="4"/>
      <c r="I53" s="4"/>
      <c r="J53" s="4"/>
      <c r="K53" s="4"/>
      <c r="L53" s="1"/>
    </row>
    <row r="54" spans="6:12" x14ac:dyDescent="0.25">
      <c r="F54" s="4"/>
      <c r="G54" s="4"/>
      <c r="H54" s="4" t="s">
        <v>138</v>
      </c>
      <c r="I54" s="4"/>
      <c r="J54" s="4" t="s">
        <v>141</v>
      </c>
      <c r="K54" s="4">
        <f>FIND(".",H54)</f>
        <v>10</v>
      </c>
      <c r="L54" s="1"/>
    </row>
    <row r="55" spans="6:12" x14ac:dyDescent="0.25">
      <c r="F55" s="4"/>
      <c r="G55" s="4"/>
      <c r="H55" s="4"/>
      <c r="I55" s="4"/>
      <c r="J55" s="4"/>
      <c r="K55" s="4"/>
      <c r="L55" s="1"/>
    </row>
    <row r="56" spans="6:12" x14ac:dyDescent="0.25">
      <c r="F56" s="4" t="s">
        <v>15</v>
      </c>
      <c r="G56" s="4"/>
      <c r="H56" s="4" t="s">
        <v>13</v>
      </c>
      <c r="I56" s="4"/>
      <c r="J56" s="4" t="s">
        <v>16</v>
      </c>
      <c r="K56" s="4" t="str">
        <f>LEFT(H56,3)</f>
        <v>Rai</v>
      </c>
      <c r="L56" s="1"/>
    </row>
    <row r="57" spans="6:12" x14ac:dyDescent="0.25">
      <c r="F57" s="4"/>
      <c r="G57" s="4"/>
      <c r="H57" s="7" t="s">
        <v>81</v>
      </c>
      <c r="I57" s="4"/>
      <c r="J57" s="4" t="s">
        <v>91</v>
      </c>
      <c r="K57" s="4" t="str">
        <f>LEFT(H57,7)</f>
        <v>http://</v>
      </c>
      <c r="L57" s="1"/>
    </row>
    <row r="58" spans="6:12" x14ac:dyDescent="0.25">
      <c r="F58" s="4"/>
      <c r="G58" s="4"/>
      <c r="H58" s="4" t="s">
        <v>82</v>
      </c>
      <c r="I58" s="4"/>
      <c r="J58" s="4" t="s">
        <v>92</v>
      </c>
      <c r="K58" s="4" t="str">
        <f>LEFT(H58,8)</f>
        <v>12OO 11-</v>
      </c>
      <c r="L58" s="1"/>
    </row>
    <row r="59" spans="6:12" x14ac:dyDescent="0.25">
      <c r="F59" s="4"/>
      <c r="G59" s="4"/>
      <c r="H59" s="4" t="s">
        <v>85</v>
      </c>
      <c r="I59" s="4"/>
      <c r="J59" s="4" t="s">
        <v>93</v>
      </c>
      <c r="K59" s="4" t="str">
        <f>LEFT(H59,6)</f>
        <v>OO**Oo</v>
      </c>
      <c r="L59" s="1"/>
    </row>
    <row r="60" spans="6:12" x14ac:dyDescent="0.25">
      <c r="F60" s="4"/>
      <c r="G60" s="4"/>
      <c r="H60" s="4" t="s">
        <v>84</v>
      </c>
      <c r="I60" s="4"/>
      <c r="J60" s="4" t="s">
        <v>94</v>
      </c>
      <c r="K60" s="4" t="str">
        <f>LEFT(H60,9)</f>
        <v>Scientist</v>
      </c>
      <c r="L60" s="1"/>
    </row>
    <row r="61" spans="6:12" x14ac:dyDescent="0.25">
      <c r="F61" s="4"/>
      <c r="G61" s="4"/>
      <c r="H61" s="4"/>
      <c r="I61" s="4"/>
      <c r="J61" s="4"/>
      <c r="K61" s="4"/>
      <c r="L61" s="1"/>
    </row>
    <row r="62" spans="6:12" x14ac:dyDescent="0.25">
      <c r="F62" s="4" t="s">
        <v>17</v>
      </c>
      <c r="G62" s="4"/>
      <c r="H62" s="4" t="s">
        <v>13</v>
      </c>
      <c r="I62" s="4"/>
      <c r="J62" s="4" t="s">
        <v>18</v>
      </c>
      <c r="K62" s="4" t="str">
        <f>RIGHT(H62,7)</f>
        <v>oni-MCA</v>
      </c>
      <c r="L62" s="1"/>
    </row>
    <row r="63" spans="6:12" x14ac:dyDescent="0.25">
      <c r="F63" s="4"/>
      <c r="G63" s="4"/>
      <c r="H63" s="7" t="s">
        <v>81</v>
      </c>
      <c r="I63" s="4"/>
      <c r="J63" s="4" t="s">
        <v>87</v>
      </c>
      <c r="K63" s="4" t="str">
        <f>RIGHT(H63,10)</f>
        <v>google.com</v>
      </c>
      <c r="L63" s="1"/>
    </row>
    <row r="64" spans="6:12" x14ac:dyDescent="0.25">
      <c r="F64" s="4"/>
      <c r="G64" s="4"/>
      <c r="H64" s="4" t="s">
        <v>82</v>
      </c>
      <c r="I64" s="4"/>
      <c r="J64" s="4" t="s">
        <v>88</v>
      </c>
      <c r="K64" s="4" t="str">
        <f>RIGHT(H64,6)</f>
        <v>11--22</v>
      </c>
      <c r="L64" s="1"/>
    </row>
    <row r="65" spans="6:12" x14ac:dyDescent="0.25">
      <c r="F65" s="4"/>
      <c r="G65" s="4"/>
      <c r="H65" s="4" t="s">
        <v>86</v>
      </c>
      <c r="I65" s="4"/>
      <c r="J65" s="4" t="s">
        <v>89</v>
      </c>
      <c r="K65" s="4" t="str">
        <f>RIGHT(H65,7)</f>
        <v>new car</v>
      </c>
      <c r="L65" s="1"/>
    </row>
    <row r="66" spans="6:12" x14ac:dyDescent="0.25">
      <c r="F66" s="4"/>
      <c r="G66" s="4"/>
      <c r="H66" s="4" t="s">
        <v>83</v>
      </c>
      <c r="I66" s="4"/>
      <c r="J66" s="4" t="s">
        <v>90</v>
      </c>
      <c r="K66" s="4" t="str">
        <f>RIGHT(H66,9)</f>
        <v>Scientist</v>
      </c>
      <c r="L66" s="1"/>
    </row>
    <row r="67" spans="6:12" x14ac:dyDescent="0.25">
      <c r="F67" s="4"/>
      <c r="G67" s="4"/>
      <c r="H67" s="4"/>
      <c r="I67" s="4"/>
      <c r="J67" s="4"/>
      <c r="K67" s="4"/>
      <c r="L67" s="1"/>
    </row>
    <row r="68" spans="6:12" x14ac:dyDescent="0.25">
      <c r="F68" s="4" t="s">
        <v>19</v>
      </c>
      <c r="G68" s="4"/>
      <c r="H68" s="4" t="s">
        <v>13</v>
      </c>
      <c r="I68" s="4"/>
      <c r="J68" s="4" t="s">
        <v>21</v>
      </c>
      <c r="K68" s="4">
        <f>LEN(H68)</f>
        <v>11</v>
      </c>
      <c r="L68" s="1"/>
    </row>
    <row r="69" spans="6:12" x14ac:dyDescent="0.25">
      <c r="F69" s="4"/>
      <c r="G69" s="4"/>
      <c r="H69" s="4" t="s">
        <v>73</v>
      </c>
      <c r="I69" s="4"/>
      <c r="J69" s="4" t="s">
        <v>77</v>
      </c>
      <c r="K69" s="4">
        <f>LEN(H69)</f>
        <v>23</v>
      </c>
      <c r="L69" s="1"/>
    </row>
    <row r="70" spans="6:12" x14ac:dyDescent="0.25">
      <c r="F70" s="4"/>
      <c r="G70" s="4"/>
      <c r="H70" s="4" t="s">
        <v>74</v>
      </c>
      <c r="I70" s="4"/>
      <c r="J70" s="4" t="s">
        <v>78</v>
      </c>
      <c r="K70" s="4">
        <f>LEN(H70)</f>
        <v>19</v>
      </c>
      <c r="L70" s="1"/>
    </row>
    <row r="71" spans="6:12" x14ac:dyDescent="0.25">
      <c r="F71" s="4"/>
      <c r="G71" s="4"/>
      <c r="H71" s="4" t="s">
        <v>75</v>
      </c>
      <c r="I71" s="4"/>
      <c r="J71" s="4" t="s">
        <v>79</v>
      </c>
      <c r="K71" s="4">
        <f>LEN(H71)</f>
        <v>18</v>
      </c>
      <c r="L71" s="1"/>
    </row>
    <row r="72" spans="6:12" x14ac:dyDescent="0.25">
      <c r="F72" s="4"/>
      <c r="G72" s="4"/>
      <c r="H72" s="4" t="s">
        <v>76</v>
      </c>
      <c r="I72" s="4"/>
      <c r="J72" s="4" t="s">
        <v>80</v>
      </c>
      <c r="K72" s="4">
        <f>LEN(H72)</f>
        <v>16</v>
      </c>
      <c r="L72" s="1"/>
    </row>
    <row r="73" spans="6:12" x14ac:dyDescent="0.25">
      <c r="F73" s="4"/>
      <c r="G73" s="4"/>
      <c r="H73" s="4"/>
      <c r="I73" s="4"/>
      <c r="J73" s="4"/>
      <c r="K73" s="4"/>
      <c r="L73" s="1"/>
    </row>
    <row r="74" spans="6:12" x14ac:dyDescent="0.25">
      <c r="F74" s="4" t="s">
        <v>22</v>
      </c>
      <c r="G74" s="4"/>
      <c r="H74" s="4" t="s">
        <v>13</v>
      </c>
      <c r="I74" s="4"/>
      <c r="J74" s="4" t="s">
        <v>23</v>
      </c>
      <c r="K74" s="4" t="str">
        <f>LOWER(H74)</f>
        <v>raisoni-mca</v>
      </c>
      <c r="L74" s="1"/>
    </row>
    <row r="75" spans="6:12" x14ac:dyDescent="0.25">
      <c r="F75" s="4"/>
      <c r="G75" s="4"/>
      <c r="H75" s="4" t="s">
        <v>57</v>
      </c>
      <c r="I75" s="4"/>
      <c r="J75" s="4" t="s">
        <v>61</v>
      </c>
      <c r="K75" s="4" t="str">
        <f>LOWER(H75)</f>
        <v>i_am_pursuing_data_analytics</v>
      </c>
      <c r="L75" s="1"/>
    </row>
    <row r="76" spans="6:12" x14ac:dyDescent="0.25">
      <c r="F76" s="4"/>
      <c r="G76" s="4"/>
      <c r="H76" s="4" t="s">
        <v>58</v>
      </c>
      <c r="I76" s="4"/>
      <c r="J76" s="4" t="s">
        <v>62</v>
      </c>
      <c r="K76" s="4" t="str">
        <f>LOWER(H76)</f>
        <v>new_tata_car</v>
      </c>
      <c r="L76" s="1"/>
    </row>
    <row r="77" spans="6:12" x14ac:dyDescent="0.25">
      <c r="F77" s="4"/>
      <c r="G77" s="4"/>
      <c r="H77" s="4" t="s">
        <v>59</v>
      </c>
      <c r="I77" s="4"/>
      <c r="J77" s="4" t="s">
        <v>63</v>
      </c>
      <c r="K77" s="4" t="str">
        <f>LOWER(H77)</f>
        <v>code_in_roman_xii</v>
      </c>
      <c r="L77" s="1"/>
    </row>
    <row r="78" spans="6:12" x14ac:dyDescent="0.25">
      <c r="F78" s="4"/>
      <c r="G78" s="4"/>
      <c r="H78" s="4" t="s">
        <v>60</v>
      </c>
      <c r="I78" s="4"/>
      <c r="J78" s="4" t="s">
        <v>64</v>
      </c>
      <c r="K78" s="4" t="str">
        <f>LOWER(H78)</f>
        <v>i_ii_iii_iv_v_vi_vii_viii_ix_x</v>
      </c>
      <c r="L78" s="1"/>
    </row>
    <row r="79" spans="6:12" x14ac:dyDescent="0.25">
      <c r="F79" s="4"/>
      <c r="G79" s="4"/>
      <c r="H79" s="4"/>
      <c r="I79" s="4"/>
      <c r="J79" s="4"/>
      <c r="K79" s="4"/>
      <c r="L79" s="1"/>
    </row>
    <row r="80" spans="6:12" x14ac:dyDescent="0.25">
      <c r="F80" s="4" t="s">
        <v>20</v>
      </c>
      <c r="G80" s="4"/>
      <c r="H80" s="4" t="s">
        <v>13</v>
      </c>
      <c r="I80" s="4"/>
      <c r="J80" s="4" t="s">
        <v>24</v>
      </c>
      <c r="K80" s="4" t="str">
        <f>UPPER(H80)</f>
        <v>RAISONI-MCA</v>
      </c>
      <c r="L80" s="1"/>
    </row>
    <row r="81" spans="6:12" x14ac:dyDescent="0.25">
      <c r="F81" s="4"/>
      <c r="G81" s="4"/>
      <c r="H81" s="4" t="s">
        <v>65</v>
      </c>
      <c r="I81" s="4"/>
      <c r="J81" s="4" t="s">
        <v>69</v>
      </c>
      <c r="K81" s="4" t="str">
        <f>UPPER(H81)</f>
        <v>I_AM_PURSUING_DATA_ANALYTICS</v>
      </c>
      <c r="L81" s="1"/>
    </row>
    <row r="82" spans="6:12" x14ac:dyDescent="0.25">
      <c r="F82" s="4"/>
      <c r="G82" s="4"/>
      <c r="H82" s="4" t="s">
        <v>66</v>
      </c>
      <c r="I82" s="4"/>
      <c r="J82" s="4" t="s">
        <v>70</v>
      </c>
      <c r="K82" s="4" t="str">
        <f>UPPER(H82)</f>
        <v>NEW_TATA_CAR</v>
      </c>
      <c r="L82" s="1"/>
    </row>
    <row r="83" spans="6:12" x14ac:dyDescent="0.25">
      <c r="F83" s="4"/>
      <c r="G83" s="4"/>
      <c r="H83" s="4" t="s">
        <v>67</v>
      </c>
      <c r="I83" s="4"/>
      <c r="J83" s="4" t="s">
        <v>71</v>
      </c>
      <c r="K83" s="4" t="str">
        <f>UPPER(H83)</f>
        <v>CODE_IN_ROMAN_VII</v>
      </c>
      <c r="L83" s="1"/>
    </row>
    <row r="84" spans="6:12" x14ac:dyDescent="0.25">
      <c r="F84" s="4"/>
      <c r="G84" s="4"/>
      <c r="H84" s="4" t="s">
        <v>68</v>
      </c>
      <c r="I84" s="4"/>
      <c r="J84" s="4" t="s">
        <v>72</v>
      </c>
      <c r="K84" s="4" t="str">
        <f>UPPER(H84)</f>
        <v>I_II_III_IV_V_VI_VII_VIII_IX_X</v>
      </c>
      <c r="L84" s="1"/>
    </row>
    <row r="85" spans="6:12" x14ac:dyDescent="0.25">
      <c r="F85" s="4"/>
      <c r="G85" s="4"/>
      <c r="H85" s="4"/>
      <c r="I85" s="4"/>
      <c r="J85" s="4"/>
      <c r="K85" s="4"/>
      <c r="L85" s="1"/>
    </row>
    <row r="86" spans="6:12" x14ac:dyDescent="0.25">
      <c r="F86" s="4" t="s">
        <v>25</v>
      </c>
      <c r="G86" s="4"/>
      <c r="H86" s="4" t="s">
        <v>13</v>
      </c>
      <c r="I86" s="4"/>
      <c r="J86" s="4" t="s">
        <v>27</v>
      </c>
      <c r="K86" s="4" t="str">
        <f>MID(H86,3,4)</f>
        <v>ison</v>
      </c>
      <c r="L86" s="1"/>
    </row>
    <row r="87" spans="6:12" x14ac:dyDescent="0.25">
      <c r="F87" s="4"/>
      <c r="G87" s="4"/>
      <c r="H87" s="7" t="s">
        <v>49</v>
      </c>
      <c r="I87" s="4"/>
      <c r="J87" s="4" t="s">
        <v>53</v>
      </c>
      <c r="K87" s="4" t="str">
        <f>MID(H87,6,1)</f>
        <v>@</v>
      </c>
      <c r="L87" s="1"/>
    </row>
    <row r="88" spans="6:12" x14ac:dyDescent="0.25">
      <c r="F88" s="4"/>
      <c r="G88" s="4"/>
      <c r="H88" s="4" t="s">
        <v>50</v>
      </c>
      <c r="I88" s="4"/>
      <c r="J88" s="4" t="s">
        <v>54</v>
      </c>
      <c r="K88" s="4" t="str">
        <f>MID(H88,13,15)</f>
        <v>task1_completed</v>
      </c>
      <c r="L88" s="1"/>
    </row>
    <row r="89" spans="6:12" x14ac:dyDescent="0.25">
      <c r="F89" s="4"/>
      <c r="G89" s="4"/>
      <c r="H89" s="4" t="s">
        <v>51</v>
      </c>
      <c r="I89" s="4"/>
      <c r="J89" s="4" t="s">
        <v>55</v>
      </c>
      <c r="K89" s="4" t="str">
        <f>MID(H89,2,9)</f>
        <v>*********</v>
      </c>
      <c r="L89" s="1"/>
    </row>
    <row r="90" spans="6:12" x14ac:dyDescent="0.25">
      <c r="F90" s="4"/>
      <c r="G90" s="4"/>
      <c r="H90" s="4" t="s">
        <v>52</v>
      </c>
      <c r="I90" s="4"/>
      <c r="J90" s="4" t="s">
        <v>56</v>
      </c>
      <c r="K90" s="4" t="str">
        <f>MID(H90,4,15)</f>
        <v>(/mrunali-ARC/)</v>
      </c>
      <c r="L90" s="1"/>
    </row>
    <row r="91" spans="6:12" x14ac:dyDescent="0.25">
      <c r="F91" s="4"/>
      <c r="G91" s="4"/>
      <c r="H91" s="4"/>
      <c r="I91" s="4"/>
      <c r="J91" s="4"/>
      <c r="K91" s="4"/>
      <c r="L91" s="1"/>
    </row>
    <row r="92" spans="6:12" x14ac:dyDescent="0.25">
      <c r="F92" s="4" t="s">
        <v>26</v>
      </c>
      <c r="G92" s="4"/>
      <c r="H92" s="4" t="s">
        <v>13</v>
      </c>
      <c r="I92" s="4"/>
      <c r="J92" s="4" t="s">
        <v>28</v>
      </c>
      <c r="K92" s="4" t="str">
        <f>PROPER(H92)</f>
        <v>Raisoni-Mca</v>
      </c>
      <c r="L92" s="1"/>
    </row>
    <row r="93" spans="6:12" x14ac:dyDescent="0.25">
      <c r="F93" s="4"/>
      <c r="G93" s="4"/>
      <c r="H93" s="4" t="s">
        <v>33</v>
      </c>
      <c r="I93" s="4"/>
      <c r="J93" s="4" t="s">
        <v>37</v>
      </c>
      <c r="K93" s="4" t="str">
        <f>PROPER(H93)</f>
        <v>Mrunali-Arc</v>
      </c>
      <c r="L93" s="1"/>
    </row>
    <row r="94" spans="6:12" x14ac:dyDescent="0.25">
      <c r="F94" s="4"/>
      <c r="G94" s="4"/>
      <c r="H94" s="4" t="s">
        <v>34</v>
      </c>
      <c r="I94" s="4"/>
      <c r="J94" s="4" t="s">
        <v>38</v>
      </c>
      <c r="K94" s="4" t="str">
        <f>PROPER(H94)</f>
        <v>My Name Is_Mrunali</v>
      </c>
      <c r="L94" s="1"/>
    </row>
    <row r="95" spans="6:12" x14ac:dyDescent="0.25">
      <c r="F95" s="4"/>
      <c r="G95" s="4"/>
      <c r="H95" s="4" t="s">
        <v>35</v>
      </c>
      <c r="I95" s="4"/>
      <c r="J95" s="4" t="s">
        <v>39</v>
      </c>
      <c r="K95" s="4" t="str">
        <f>PROPER(H95)</f>
        <v>Television</v>
      </c>
      <c r="L95" s="1"/>
    </row>
    <row r="96" spans="6:12" x14ac:dyDescent="0.25">
      <c r="F96" s="4"/>
      <c r="G96" s="4"/>
      <c r="H96" s="4" t="s">
        <v>36</v>
      </c>
      <c r="I96" s="4"/>
      <c r="J96" s="4" t="s">
        <v>40</v>
      </c>
      <c r="K96" s="4" t="str">
        <f>PROPER(H96)</f>
        <v>Indian Idole</v>
      </c>
      <c r="L96" s="1"/>
    </row>
    <row r="97" spans="6:12" x14ac:dyDescent="0.25">
      <c r="F97" s="4"/>
      <c r="G97" s="4"/>
      <c r="H97" s="4"/>
      <c r="I97" s="4"/>
      <c r="J97" s="4"/>
      <c r="K97" s="4"/>
      <c r="L97" s="1"/>
    </row>
    <row r="98" spans="6:12" x14ac:dyDescent="0.25">
      <c r="F98" s="4" t="s">
        <v>29</v>
      </c>
      <c r="G98" s="4"/>
      <c r="H98" s="4" t="s">
        <v>13</v>
      </c>
      <c r="I98" s="4"/>
      <c r="J98" s="4" t="s">
        <v>44</v>
      </c>
      <c r="K98" s="4" t="str">
        <f>REPLACE(H98,1,3,"new")</f>
        <v>newsoni-MCA</v>
      </c>
      <c r="L98" s="1"/>
    </row>
    <row r="99" spans="6:12" x14ac:dyDescent="0.25">
      <c r="F99" s="4"/>
      <c r="G99" s="4"/>
      <c r="H99" s="4" t="s">
        <v>41</v>
      </c>
      <c r="I99" s="4"/>
      <c r="J99" s="4" t="s">
        <v>45</v>
      </c>
      <c r="K99" s="4" t="str">
        <f>REPLACE(H99,7,0," ")</f>
        <v>Indian Idole</v>
      </c>
      <c r="L99" s="1"/>
    </row>
    <row r="100" spans="6:12" x14ac:dyDescent="0.25">
      <c r="F100" s="4"/>
      <c r="G100" s="4"/>
      <c r="H100" s="4">
        <v>9876543210</v>
      </c>
      <c r="I100" s="4"/>
      <c r="J100" s="4" t="s">
        <v>46</v>
      </c>
      <c r="K100" s="4" t="str">
        <f>REPLACE(H100,3,5,"*****")</f>
        <v>98*****210</v>
      </c>
      <c r="L100" s="1"/>
    </row>
    <row r="101" spans="6:12" x14ac:dyDescent="0.25">
      <c r="F101" s="4"/>
      <c r="G101" s="4"/>
      <c r="H101" s="4" t="s">
        <v>42</v>
      </c>
      <c r="I101" s="4"/>
      <c r="J101" s="4" t="s">
        <v>47</v>
      </c>
      <c r="K101" s="4" t="str">
        <f>REPLACE(H101,2,7,"OOOOOOO")</f>
        <v>XOOOOOOOX</v>
      </c>
      <c r="L101" s="1"/>
    </row>
    <row r="102" spans="6:12" x14ac:dyDescent="0.25">
      <c r="F102" s="4"/>
      <c r="G102" s="4"/>
      <c r="H102" s="4" t="s">
        <v>43</v>
      </c>
      <c r="I102" s="4"/>
      <c r="J102" s="4" t="s">
        <v>48</v>
      </c>
      <c r="K102" s="4" t="str">
        <f>REPLACE(H102,8,5," ")</f>
        <v>Chennai Express</v>
      </c>
      <c r="L102" s="1"/>
    </row>
    <row r="103" spans="6:12" x14ac:dyDescent="0.25">
      <c r="F103" s="8"/>
      <c r="G103" s="8"/>
      <c r="H103" s="8"/>
      <c r="I103" s="8"/>
      <c r="J103" s="8"/>
      <c r="K103" s="8"/>
    </row>
  </sheetData>
  <hyperlinks>
    <hyperlink ref="H87" r:id="rId1" xr:uid="{062DA47D-BE36-495B-B0B0-20C0D9F77571}"/>
    <hyperlink ref="H57" r:id="rId2" xr:uid="{7C14DC7D-5E6C-4DE6-B932-473E245A8F58}"/>
    <hyperlink ref="H63" r:id="rId3" xr:uid="{B81CD535-0BDC-4DBA-8F6C-4B6DA8809B09}"/>
    <hyperlink ref="H50" r:id="rId4" xr:uid="{94662581-D8B4-4A7D-BA76-58BE20B2EE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2026-03-09T18:12:13Z</dcterms:modified>
</cp:coreProperties>
</file>